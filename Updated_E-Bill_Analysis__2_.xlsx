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-Bil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70C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6"/>
  <sheetViews>
    <sheetView workbookViewId="0">
      <selection activeCell="A1" sqref="A1"/>
    </sheetView>
  </sheetViews>
  <sheetFormatPr baseColWidth="8" defaultRowHeight="15"/>
  <cols>
    <col width="15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3">
      <c r="B3" s="1" t="inlineStr">
        <is>
          <t>Consumer Name:</t>
        </is>
      </c>
      <c r="D3" t="inlineStr">
        <is>
          <t>CHAIRMAN GK. ROYALE HILLS D WING 1</t>
        </is>
      </c>
    </row>
    <row r="4">
      <c r="B4" s="1" t="inlineStr">
        <is>
          <t>Consumer No:</t>
        </is>
      </c>
      <c r="D4" t="inlineStr">
        <is>
          <t>170071415697</t>
        </is>
      </c>
    </row>
    <row r="5">
      <c r="B5" s="1" t="inlineStr">
        <is>
          <t>Fixed Charges (₹):</t>
        </is>
      </c>
      <c r="D5" t="n">
        <v>130.05</v>
      </c>
    </row>
    <row r="6">
      <c r="B6" s="1" t="inlineStr">
        <is>
          <t>Sanctioned Load:</t>
        </is>
      </c>
      <c r="D6" t="inlineStr">
        <is>
          <t>7.00</t>
        </is>
      </c>
    </row>
    <row r="7">
      <c r="B7" s="1" t="inlineStr">
        <is>
          <t>Solar Panel Input (W):</t>
        </is>
      </c>
      <c r="C7" s="2" t="n">
        <v>600</v>
      </c>
    </row>
    <row r="8">
      <c r="B8" s="3" t="inlineStr">
        <is>
          <t>Sr.No</t>
        </is>
      </c>
      <c r="C8" s="3" t="inlineStr">
        <is>
          <t>Month</t>
        </is>
      </c>
      <c r="D8" s="3" t="inlineStr">
        <is>
          <t>Units</t>
        </is>
      </c>
      <c r="E8" s="3" t="inlineStr">
        <is>
          <t>Bill Amount</t>
        </is>
      </c>
      <c r="F8" s="3" t="inlineStr">
        <is>
          <t>Unit Cost</t>
        </is>
      </c>
    </row>
    <row r="9">
      <c r="B9" t="n">
        <v>1</v>
      </c>
      <c r="C9" t="inlineStr">
        <is>
          <t>May-2026</t>
        </is>
      </c>
      <c r="D9" t="n">
        <v>541</v>
      </c>
      <c r="E9" s="4" t="n">
        <v>9240</v>
      </c>
      <c r="F9" s="4">
        <f>(E9-D$5)/D9</f>
        <v/>
      </c>
    </row>
    <row r="10">
      <c r="B10" t="n">
        <v>2</v>
      </c>
      <c r="C10" t="inlineStr">
        <is>
          <t>April-2026</t>
        </is>
      </c>
      <c r="D10" t="n">
        <v>541</v>
      </c>
      <c r="E10" s="4" t="n"/>
      <c r="F10" s="4">
        <f>(E10-D$5)/D10</f>
        <v/>
      </c>
    </row>
    <row r="11">
      <c r="B11" t="n">
        <v>3</v>
      </c>
      <c r="C11" t="inlineStr">
        <is>
          <t>March-2026</t>
        </is>
      </c>
      <c r="D11" t="n">
        <v>541</v>
      </c>
      <c r="E11" s="4" t="n"/>
      <c r="F11" s="4">
        <f>(E11-D$5)/D11</f>
        <v/>
      </c>
    </row>
    <row r="12">
      <c r="B12" t="n">
        <v>4</v>
      </c>
      <c r="C12" t="inlineStr">
        <is>
          <t>February-2026</t>
        </is>
      </c>
      <c r="D12" t="n">
        <v>536</v>
      </c>
      <c r="E12" s="4" t="n"/>
      <c r="F12" s="4">
        <f>(E12-D$5)/D12</f>
        <v/>
      </c>
    </row>
    <row r="13">
      <c r="B13" t="n">
        <v>5</v>
      </c>
      <c r="C13" t="inlineStr">
        <is>
          <t>January-2026</t>
        </is>
      </c>
      <c r="D13" t="n">
        <v>560</v>
      </c>
      <c r="E13" s="4" t="n"/>
      <c r="F13" s="4">
        <f>(E13-D$5)/D13</f>
        <v/>
      </c>
    </row>
    <row r="14">
      <c r="B14" t="n">
        <v>6</v>
      </c>
      <c r="C14" t="inlineStr">
        <is>
          <t>December-2025</t>
        </is>
      </c>
      <c r="D14" t="n">
        <v>526</v>
      </c>
      <c r="E14" s="4" t="n"/>
      <c r="F14" s="4">
        <f>(E14-D$5)/D14</f>
        <v/>
      </c>
    </row>
    <row r="15">
      <c r="B15" t="n">
        <v>7</v>
      </c>
      <c r="C15" t="inlineStr">
        <is>
          <t>November-2025</t>
        </is>
      </c>
      <c r="D15" t="n">
        <v>505</v>
      </c>
      <c r="E15" s="4" t="n"/>
      <c r="F15" s="4">
        <f>(E15-D$5)/D15</f>
        <v/>
      </c>
    </row>
    <row r="16">
      <c r="B16" t="n">
        <v>8</v>
      </c>
      <c r="C16" t="inlineStr">
        <is>
          <t>September-2025</t>
        </is>
      </c>
      <c r="D16" t="n">
        <v>536</v>
      </c>
      <c r="E16" s="4" t="n"/>
      <c r="F16" s="4">
        <f>(E16-D$5)/D16</f>
        <v/>
      </c>
    </row>
    <row r="17">
      <c r="B17" t="n">
        <v>9</v>
      </c>
      <c r="C17" t="inlineStr">
        <is>
          <t>August-2025</t>
        </is>
      </c>
      <c r="D17" t="n">
        <v>522</v>
      </c>
      <c r="E17" s="4" t="n"/>
      <c r="F17" s="4">
        <f>(E17-D$5)/D17</f>
        <v/>
      </c>
    </row>
    <row r="18">
      <c r="B18" t="n">
        <v>10</v>
      </c>
      <c r="C18" t="inlineStr">
        <is>
          <t>July-2025</t>
        </is>
      </c>
      <c r="D18" t="n">
        <v>508</v>
      </c>
      <c r="E18" s="4" t="n"/>
      <c r="F18" s="4">
        <f>(E18-D$5)/D18</f>
        <v/>
      </c>
    </row>
    <row r="19">
      <c r="B19" t="n">
        <v>11</v>
      </c>
      <c r="C19" t="inlineStr">
        <is>
          <t>June-2025</t>
        </is>
      </c>
      <c r="D19" t="n">
        <v>503</v>
      </c>
      <c r="E19" s="4" t="n"/>
      <c r="F19" s="4">
        <f>(E19-D$5)/D19</f>
        <v/>
      </c>
    </row>
    <row r="22">
      <c r="B22" s="1" t="inlineStr">
        <is>
          <t>Average:</t>
        </is>
      </c>
      <c r="C22">
        <f>AVERAGE(D9:D21)</f>
        <v/>
      </c>
    </row>
    <row r="23">
      <c r="B23" s="1" t="inlineStr">
        <is>
          <t>kW:</t>
        </is>
      </c>
      <c r="C23">
        <f>(C22*12*1.1)/1400</f>
        <v/>
      </c>
    </row>
    <row r="24">
      <c r="B24" s="1" t="inlineStr">
        <is>
          <t>Solar Panels:</t>
        </is>
      </c>
      <c r="C24">
        <f>(C23/$C$7)*1000</f>
        <v/>
      </c>
    </row>
    <row r="25">
      <c r="B25" s="1" t="inlineStr">
        <is>
          <t>Solar capacity:</t>
        </is>
      </c>
      <c r="C25">
        <f>ROUND(C24,0)*$C$7/1000</f>
        <v/>
      </c>
    </row>
    <row r="26">
      <c r="B26" s="1" t="inlineStr">
        <is>
          <t>Number of Panels:</t>
        </is>
      </c>
      <c r="C26">
        <f>ROUND(C24,0)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2026-06-03T08:10:20Z</dcterms:created>
  <dcterms:modified xsi:type="dcterms:W3CDTF">2026-06-03T08:10:20Z</dcterms:modified>
</cp:coreProperties>
</file>